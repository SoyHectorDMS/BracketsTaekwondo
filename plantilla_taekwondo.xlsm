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oyHectorDMS\Downloads\"/>
    </mc:Choice>
  </mc:AlternateContent>
  <xr:revisionPtr revIDLastSave="0" documentId="13_ncr:1_{22137276-BE61-4EEB-830B-29871E8DFB69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KYORUGUI" sheetId="2" r:id="rId1"/>
    <sheet name="CIRCUITO MOTOR" sheetId="3" r:id="rId2"/>
    <sheet name="POOMSAE" sheetId="4" r:id="rId3"/>
    <sheet name="FESTIVAL" sheetId="5" r:id="rId4"/>
    <sheet name="PANEL" sheetId="1" r:id="rId5"/>
    <sheet name="LISTAS" sheetId="6" r:id="rId6"/>
    <sheet name="_PESOS_KYORUGUI" sheetId="7" state="veryHidden" r:id="rId7"/>
  </sheets>
  <definedNames>
    <definedName name="_xlnm._FilterDatabase" localSheetId="1" hidden="1">'CIRCUITO MOTOR'!$A$3:$F$23</definedName>
    <definedName name="_xlnm._FilterDatabase" localSheetId="3" hidden="1">FESTIVAL!$A$3:$F$23</definedName>
    <definedName name="_xlnm._FilterDatabase" localSheetId="0" hidden="1">KYORUGUI!$A$3:$H$12</definedName>
    <definedName name="_xlnm._FilterDatabase" localSheetId="2" hidden="1">POOMSAE!$A$3:$F$23</definedName>
    <definedName name="PESOS_KYO_FILA_10">_PESOS_KYORUGUI!$G$1:$G$8</definedName>
    <definedName name="PESOS_KYO_FILA_4">_PESOS_KYORUGUI!$A$1:$A$10</definedName>
    <definedName name="PESOS_KYO_FILA_9">_PESOS_KYORUGUI!$F$1:$F$8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2" l="1"/>
  <c r="H16" i="2"/>
  <c r="A17" i="2"/>
  <c r="H17" i="2"/>
  <c r="A18" i="2"/>
  <c r="H18" i="2"/>
  <c r="A19" i="2"/>
  <c r="H19" i="2"/>
  <c r="A20" i="2"/>
  <c r="H20" i="2"/>
  <c r="A21" i="2"/>
  <c r="H21" i="2"/>
  <c r="A22" i="2"/>
  <c r="H22" i="2"/>
  <c r="A23" i="2"/>
  <c r="H23" i="2"/>
  <c r="A13" i="2"/>
  <c r="H13" i="2"/>
  <c r="A14" i="2"/>
  <c r="H14" i="2"/>
  <c r="A15" i="2"/>
  <c r="H15" i="2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H12" i="2"/>
  <c r="I12" i="2" s="1"/>
  <c r="A12" i="2"/>
  <c r="H11" i="2"/>
  <c r="I11" i="2" s="1"/>
  <c r="A11" i="2"/>
  <c r="I10" i="2"/>
  <c r="A10" i="2"/>
  <c r="I9" i="2"/>
  <c r="A9" i="2"/>
  <c r="I8" i="2"/>
  <c r="A8" i="2"/>
  <c r="I7" i="2"/>
  <c r="A7" i="2"/>
  <c r="I6" i="2"/>
  <c r="A6" i="2"/>
  <c r="I5" i="2"/>
  <c r="A5" i="2"/>
  <c r="I4" i="2"/>
  <c r="A4" i="2"/>
</calcChain>
</file>

<file path=xl/sharedStrings.xml><?xml version="1.0" encoding="utf-8"?>
<sst xmlns="http://schemas.openxmlformats.org/spreadsheetml/2006/main" count="431" uniqueCount="155">
  <si>
    <t>PANEL DE CONTROL — TOPE UNION TAEKWONDO</t>
  </si>
  <si>
    <t>Archivo actualizado con la nueva base de divisiones, clases y pesos.</t>
  </si>
  <si>
    <t>Divisiones actualizadas:</t>
  </si>
  <si>
    <t>División</t>
  </si>
  <si>
    <t>Código</t>
  </si>
  <si>
    <t>Edad</t>
  </si>
  <si>
    <t>PRE INFANTIL (4-6 años)</t>
  </si>
  <si>
    <t>PI</t>
  </si>
  <si>
    <t>4 a 6 años</t>
  </si>
  <si>
    <t>INFANTIL (7-9 años)</t>
  </si>
  <si>
    <t>I</t>
  </si>
  <si>
    <t>7 a 9 años</t>
  </si>
  <si>
    <t>PRE CADETE (10-11 años)</t>
  </si>
  <si>
    <t>PC</t>
  </si>
  <si>
    <t>10 a 11 años</t>
  </si>
  <si>
    <t>CADETE (12-14 años)</t>
  </si>
  <si>
    <t>C</t>
  </si>
  <si>
    <t>12 a 14 años</t>
  </si>
  <si>
    <t>JUVENIL (15-17 años)</t>
  </si>
  <si>
    <t>J</t>
  </si>
  <si>
    <t>15 a 17 años</t>
  </si>
  <si>
    <t>MAYORES (+18 años)</t>
  </si>
  <si>
    <t>M</t>
  </si>
  <si>
    <t>Mayores de 18 años</t>
  </si>
  <si>
    <t>Indicaciones:</t>
  </si>
  <si>
    <t>1. En KYORUGUI, selecciona Edad y Género; el Kg se filtra automáticamente.
2. La columna Categoría se completa con PI, I, PC, C, J o M.
3. Cada hoja tiene filtros en sus encabezados.
4. Hay 300 filas listas. Si arrastras/copias hacia abajo, Nº continúa con =ROW()-3.
5. CIRCUITO MOTOR solo permite PRE INFANTIL e INFANTIL.</t>
  </si>
  <si>
    <t>KYORUGUI — NOVELES, INTERMEDIOS Y AVANZADOS</t>
  </si>
  <si>
    <t>Nº</t>
  </si>
  <si>
    <t>Nombres y apellidos</t>
  </si>
  <si>
    <t>Género</t>
  </si>
  <si>
    <t>Kg</t>
  </si>
  <si>
    <t>Grado</t>
  </si>
  <si>
    <t>Academia</t>
  </si>
  <si>
    <t>Categoría</t>
  </si>
  <si>
    <t>PI_Femenino</t>
  </si>
  <si>
    <t>-19 kg</t>
  </si>
  <si>
    <t>-22 kg</t>
  </si>
  <si>
    <t>-25 kg</t>
  </si>
  <si>
    <t>-27 kg</t>
  </si>
  <si>
    <t>-29 kg</t>
  </si>
  <si>
    <t>-31 kg</t>
  </si>
  <si>
    <t>+34 kg</t>
  </si>
  <si>
    <t>PI_Masculino</t>
  </si>
  <si>
    <t>I_Femenino</t>
  </si>
  <si>
    <t>-21 kg</t>
  </si>
  <si>
    <t>-24 kg</t>
  </si>
  <si>
    <t>-30 kg</t>
  </si>
  <si>
    <t>-33 kg</t>
  </si>
  <si>
    <t>-36 kg</t>
  </si>
  <si>
    <t>-39 kg</t>
  </si>
  <si>
    <t>+39 kg</t>
  </si>
  <si>
    <t>I_Masculino</t>
  </si>
  <si>
    <t>-42 kg</t>
  </si>
  <si>
    <t>+42 kg</t>
  </si>
  <si>
    <t>PC_Femenino</t>
  </si>
  <si>
    <t>-45 kg</t>
  </si>
  <si>
    <t>-48 kg</t>
  </si>
  <si>
    <t>-51 kg</t>
  </si>
  <si>
    <t>+51 kg</t>
  </si>
  <si>
    <t>PC_Masculino</t>
  </si>
  <si>
    <t>-54 kg</t>
  </si>
  <si>
    <t>+54 kg</t>
  </si>
  <si>
    <t>C_Femenino</t>
  </si>
  <si>
    <t>-37 kg</t>
  </si>
  <si>
    <t>-41 kg</t>
  </si>
  <si>
    <t>-44 kg</t>
  </si>
  <si>
    <t>-47 kg</t>
  </si>
  <si>
    <t>-55 kg</t>
  </si>
  <si>
    <t>-59 kg</t>
  </si>
  <si>
    <t>+59 kg</t>
  </si>
  <si>
    <t>C_Masculino</t>
  </si>
  <si>
    <t>-49 kg</t>
  </si>
  <si>
    <t>-53 kg</t>
  </si>
  <si>
    <t>-57 kg</t>
  </si>
  <si>
    <t>-61 kg</t>
  </si>
  <si>
    <t>-65 kg</t>
  </si>
  <si>
    <t>+65 kg</t>
  </si>
  <si>
    <t>J_Femenino</t>
  </si>
  <si>
    <t>-46 kg</t>
  </si>
  <si>
    <t>-52 kg</t>
  </si>
  <si>
    <t>-63 kg</t>
  </si>
  <si>
    <t>-68 kg</t>
  </si>
  <si>
    <t>+68 kg</t>
  </si>
  <si>
    <t>J_Masculino</t>
  </si>
  <si>
    <t>-73 kg</t>
  </si>
  <si>
    <t>-78 kg</t>
  </si>
  <si>
    <t>+78 kg</t>
  </si>
  <si>
    <t>M_Femenino</t>
  </si>
  <si>
    <t>-62 kg</t>
  </si>
  <si>
    <t>-67 kg</t>
  </si>
  <si>
    <t>+73 kg</t>
  </si>
  <si>
    <t>M_Masculino</t>
  </si>
  <si>
    <t>-58 kg</t>
  </si>
  <si>
    <t>-74 kg</t>
  </si>
  <si>
    <t>-80 kg</t>
  </si>
  <si>
    <t>-87 kg</t>
  </si>
  <si>
    <t>+87 kg</t>
  </si>
  <si>
    <t>EMPTY</t>
  </si>
  <si>
    <t>Masculino</t>
  </si>
  <si>
    <t>Femenino</t>
  </si>
  <si>
    <t>PRINCIPIANTES (0): Blanco, blanco punta amarilla, Amarillo</t>
  </si>
  <si>
    <t>NOVELES (1): Punta Verde, Verde, Verde punta azul</t>
  </si>
  <si>
    <t>INTERMEDIO (2): Azul, Azul punta roja, Rojo</t>
  </si>
  <si>
    <t>AVANZADO (3): Rojo punta negro, Negro</t>
  </si>
  <si>
    <t>CIRCUITO MOTOR</t>
  </si>
  <si>
    <t>Kup</t>
  </si>
  <si>
    <t>LISTA_C</t>
  </si>
  <si>
    <t>LISTA_D</t>
  </si>
  <si>
    <t>LISTA_E</t>
  </si>
  <si>
    <t>10 Kup</t>
  </si>
  <si>
    <t>9 Kup</t>
  </si>
  <si>
    <t>8 Kup</t>
  </si>
  <si>
    <t>7 Kup</t>
  </si>
  <si>
    <t>6 Kup</t>
  </si>
  <si>
    <t>5 Kup</t>
  </si>
  <si>
    <t>4 Kup</t>
  </si>
  <si>
    <t>3 Kup</t>
  </si>
  <si>
    <t>2 Kup</t>
  </si>
  <si>
    <t>1 Kup</t>
  </si>
  <si>
    <t>POOMSAE</t>
  </si>
  <si>
    <t>Nombre del Poomsae</t>
  </si>
  <si>
    <t>Kibom (9no Kup)</t>
  </si>
  <si>
    <t>Il Jang (8vo Kup)</t>
  </si>
  <si>
    <t>I Jang (7mo Kup)</t>
  </si>
  <si>
    <t>Sam Jang (6to Kup)</t>
  </si>
  <si>
    <t>Sa Jang (5to Kup)</t>
  </si>
  <si>
    <t>Oh Jang (4to Kup)</t>
  </si>
  <si>
    <t>Yuk Jang (3er Kup)</t>
  </si>
  <si>
    <t>Chil Jang (2do Kup)</t>
  </si>
  <si>
    <t>Pal Jang (1er Kup)</t>
  </si>
  <si>
    <t>Koryo (1er Poom o Dan)</t>
  </si>
  <si>
    <t>Keumgang (2do Poom o Dan)</t>
  </si>
  <si>
    <t>Taebaeck (3er Poom o Dan)</t>
  </si>
  <si>
    <t>Pyongwon (4to Dan)</t>
  </si>
  <si>
    <t>Sipjing (5to Dan)</t>
  </si>
  <si>
    <t>Ji Tar (6to Dan)</t>
  </si>
  <si>
    <t>Chongkwon (7mo Dan)</t>
  </si>
  <si>
    <t>Hansu (8vo Dan)</t>
  </si>
  <si>
    <t>FESTIVAL</t>
  </si>
  <si>
    <t>Blanco</t>
  </si>
  <si>
    <t>Blanco punta amarilla</t>
  </si>
  <si>
    <t>Amarillo</t>
  </si>
  <si>
    <t>DIVISIONES</t>
  </si>
  <si>
    <t>CLASES</t>
  </si>
  <si>
    <t>PESOS POR CATEGORÍA</t>
  </si>
  <si>
    <t>PRINCIPIANTES (0)</t>
  </si>
  <si>
    <t>Blanco, blanco punta amarilla, Amarillo</t>
  </si>
  <si>
    <t>NOVELES (1)</t>
  </si>
  <si>
    <t>Punta Verde, Verde, Verde punta azul</t>
  </si>
  <si>
    <t>INTERMEDIO (2)</t>
  </si>
  <si>
    <t>Azul, Azul punta roja, Rojo</t>
  </si>
  <si>
    <t>AVANZADO (3)</t>
  </si>
  <si>
    <t>Rojo punta negro, Negro</t>
  </si>
  <si>
    <t>Categorías por peso actualizadas según imagen enviada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</si>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</sst>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1A237E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263238"/>
        <bgColor indexed="64"/>
      </patternFill>
    </fill>
    <fill>
      <patternFill patternType="solid">
        <fgColor rgb="FF1A237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7E9FB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B71C1C"/>
        <bgColor indexed="64"/>
      </patternFill>
    </fill>
    <fill>
      <patternFill patternType="solid">
        <fgColor rgb="FF1B5E20"/>
        <bgColor indexed="64"/>
      </patternFill>
    </fill>
    <fill>
      <patternFill patternType="solid">
        <fgColor rgb="FF4A148C"/>
        <bgColor indexed="64"/>
      </patternFill>
    </fill>
    <fill>
      <patternFill patternType="solid">
        <fgColor rgb="FFE651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0" xfId="0" applyFont="1"/>
    <xf numFmtId="0" fontId="0" fillId="5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left" vertical="top" wrapText="1"/>
    </xf>
    <xf numFmtId="0" fontId="5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Z23"/>
  <sheetViews>
    <sheetView workbookViewId="0">
      <pane ySplit="3" topLeftCell="A4" activePane="bottomLeft" state="frozen"/>
      <selection pane="bottomLeft" activeCell="C36" sqref="C36"/>
    </sheetView>
  </sheetViews>
  <sheetFormatPr baseColWidth="10" defaultColWidth="9.140625" defaultRowHeight="15" x14ac:dyDescent="0.25"/>
  <cols>
    <col min="1" max="1" width="8.7109375" customWidth="1"/>
    <col min="2" max="2" width="32.7109375" customWidth="1"/>
    <col min="3" max="3" width="28.7109375" customWidth="1"/>
    <col min="4" max="4" width="18.7109375" customWidth="1"/>
    <col min="5" max="5" width="16.7109375" customWidth="1"/>
    <col min="6" max="6" width="42.7109375" customWidth="1"/>
    <col min="7" max="7" width="24.7109375" customWidth="1"/>
    <col min="8" max="8" width="15.7109375" customWidth="1"/>
    <col min="9" max="26" width="0" style="6" hidden="1" customWidth="1"/>
  </cols>
  <sheetData>
    <row r="1" spans="1:26" ht="30" customHeight="1" x14ac:dyDescent="0.25">
      <c r="A1" s="10" t="s">
        <v>26</v>
      </c>
      <c r="B1" s="10"/>
      <c r="C1" s="10"/>
      <c r="D1" s="10"/>
      <c r="E1" s="10"/>
      <c r="F1" s="10"/>
      <c r="G1" s="10"/>
      <c r="H1" s="10"/>
      <c r="J1" s="6" t="s">
        <v>34</v>
      </c>
      <c r="K1" s="6" t="s">
        <v>42</v>
      </c>
      <c r="L1" s="6" t="s">
        <v>43</v>
      </c>
      <c r="M1" s="6" t="s">
        <v>51</v>
      </c>
      <c r="N1" s="6" t="s">
        <v>54</v>
      </c>
      <c r="O1" s="6" t="s">
        <v>59</v>
      </c>
      <c r="P1" s="6" t="s">
        <v>62</v>
      </c>
      <c r="Q1" s="6" t="s">
        <v>70</v>
      </c>
      <c r="R1" s="6" t="s">
        <v>77</v>
      </c>
      <c r="S1" s="6" t="s">
        <v>83</v>
      </c>
      <c r="T1" s="6" t="s">
        <v>87</v>
      </c>
      <c r="U1" s="6" t="s">
        <v>91</v>
      </c>
      <c r="V1" s="6" t="s">
        <v>97</v>
      </c>
      <c r="W1" s="6" t="s">
        <v>5</v>
      </c>
      <c r="X1" s="6" t="s">
        <v>4</v>
      </c>
      <c r="Y1" s="6" t="s">
        <v>29</v>
      </c>
      <c r="Z1" s="6" t="s">
        <v>31</v>
      </c>
    </row>
    <row r="2" spans="1:26" ht="6" customHeight="1" x14ac:dyDescent="0.25">
      <c r="A2" s="10"/>
      <c r="B2" s="10"/>
      <c r="C2" s="10"/>
      <c r="D2" s="10"/>
      <c r="E2" s="10"/>
      <c r="F2" s="10"/>
      <c r="G2" s="10"/>
      <c r="H2" s="10"/>
      <c r="J2" s="6" t="s">
        <v>35</v>
      </c>
      <c r="K2" s="6" t="s">
        <v>35</v>
      </c>
      <c r="L2" s="6" t="s">
        <v>44</v>
      </c>
      <c r="M2" s="6" t="s">
        <v>45</v>
      </c>
      <c r="N2" s="6" t="s">
        <v>38</v>
      </c>
      <c r="O2" s="6" t="s">
        <v>46</v>
      </c>
      <c r="P2" s="6" t="s">
        <v>39</v>
      </c>
      <c r="Q2" s="6" t="s">
        <v>47</v>
      </c>
      <c r="R2" s="6" t="s">
        <v>52</v>
      </c>
      <c r="S2" s="6" t="s">
        <v>55</v>
      </c>
      <c r="T2" s="6" t="s">
        <v>78</v>
      </c>
      <c r="U2" s="6" t="s">
        <v>60</v>
      </c>
      <c r="W2" s="6" t="s">
        <v>6</v>
      </c>
      <c r="X2" s="6" t="s">
        <v>7</v>
      </c>
      <c r="Y2" s="6" t="s">
        <v>98</v>
      </c>
      <c r="Z2" s="6" t="s">
        <v>100</v>
      </c>
    </row>
    <row r="3" spans="1:26" ht="24" customHeight="1" x14ac:dyDescent="0.25">
      <c r="A3" s="3" t="s">
        <v>27</v>
      </c>
      <c r="B3" s="3" t="s">
        <v>28</v>
      </c>
      <c r="C3" s="3" t="s">
        <v>5</v>
      </c>
      <c r="D3" s="3" t="s">
        <v>29</v>
      </c>
      <c r="E3" s="3" t="s">
        <v>30</v>
      </c>
      <c r="F3" s="3" t="s">
        <v>31</v>
      </c>
      <c r="G3" s="3" t="s">
        <v>32</v>
      </c>
      <c r="H3" s="3" t="s">
        <v>33</v>
      </c>
      <c r="J3" s="6" t="s">
        <v>36</v>
      </c>
      <c r="K3" s="6" t="s">
        <v>36</v>
      </c>
      <c r="L3" s="6" t="s">
        <v>45</v>
      </c>
      <c r="M3" s="6" t="s">
        <v>38</v>
      </c>
      <c r="N3" s="6" t="s">
        <v>46</v>
      </c>
      <c r="O3" s="6" t="s">
        <v>47</v>
      </c>
      <c r="P3" s="6" t="s">
        <v>47</v>
      </c>
      <c r="Q3" s="6" t="s">
        <v>63</v>
      </c>
      <c r="R3" s="6" t="s">
        <v>65</v>
      </c>
      <c r="S3" s="6" t="s">
        <v>56</v>
      </c>
      <c r="T3" s="6" t="s">
        <v>71</v>
      </c>
      <c r="U3" s="6" t="s">
        <v>92</v>
      </c>
      <c r="W3" s="6" t="s">
        <v>9</v>
      </c>
      <c r="X3" s="6" t="s">
        <v>10</v>
      </c>
      <c r="Y3" s="6" t="s">
        <v>99</v>
      </c>
      <c r="Z3" s="6" t="s">
        <v>101</v>
      </c>
    </row>
    <row r="4" spans="1:26" x14ac:dyDescent="0.25">
      <c r="A4" s="5">
        <f t="shared" ref="A4:A23" si="0">ROW()-3</f>
        <v>1</v>
      </c>
      <c r="B4" s="7" t="s">
        <v>154</v>
      </c>
      <c r="C4" s="5"/>
      <c r="D4" s="5"/>
      <c r="E4" s="5"/>
      <c r="F4" s="5"/>
      <c r="G4" s="5"/>
      <c r="H4" s="9"/>
      <c r="I4" s="6" t="str">
        <f t="shared" ref="I4:I10" si="1">IF(OR($H4="",$D4=""),"EMPTY",$H4&amp;"_"&amp;$D4)</f>
        <v>EMPTY</v>
      </c>
      <c r="J4" s="6" t="s">
        <v>37</v>
      </c>
      <c r="K4" s="6" t="s">
        <v>37</v>
      </c>
      <c r="L4" s="6" t="s">
        <v>38</v>
      </c>
      <c r="M4" s="6" t="s">
        <v>46</v>
      </c>
      <c r="N4" s="6" t="s">
        <v>47</v>
      </c>
      <c r="O4" s="6" t="s">
        <v>48</v>
      </c>
      <c r="P4" s="6" t="s">
        <v>63</v>
      </c>
      <c r="Q4" s="6" t="s">
        <v>64</v>
      </c>
      <c r="R4" s="6" t="s">
        <v>78</v>
      </c>
      <c r="S4" s="6" t="s">
        <v>57</v>
      </c>
      <c r="T4" s="6" t="s">
        <v>72</v>
      </c>
      <c r="U4" s="6" t="s">
        <v>80</v>
      </c>
      <c r="W4" s="6" t="s">
        <v>12</v>
      </c>
      <c r="X4" s="6" t="s">
        <v>13</v>
      </c>
      <c r="Z4" s="6" t="s">
        <v>102</v>
      </c>
    </row>
    <row r="5" spans="1:26" x14ac:dyDescent="0.25">
      <c r="A5" s="4">
        <f t="shared" si="0"/>
        <v>2</v>
      </c>
      <c r="B5" s="8"/>
      <c r="C5" s="4"/>
      <c r="D5" s="4"/>
      <c r="E5" s="4"/>
      <c r="F5" s="4"/>
      <c r="G5" s="4"/>
      <c r="H5" s="16"/>
      <c r="I5" s="6" t="str">
        <f t="shared" si="1"/>
        <v>EMPTY</v>
      </c>
      <c r="J5" s="6" t="s">
        <v>38</v>
      </c>
      <c r="K5" s="6" t="s">
        <v>38</v>
      </c>
      <c r="L5" s="6" t="s">
        <v>46</v>
      </c>
      <c r="M5" s="6" t="s">
        <v>47</v>
      </c>
      <c r="N5" s="6" t="s">
        <v>48</v>
      </c>
      <c r="O5" s="6" t="s">
        <v>49</v>
      </c>
      <c r="P5" s="6" t="s">
        <v>64</v>
      </c>
      <c r="Q5" s="6" t="s">
        <v>55</v>
      </c>
      <c r="R5" s="6" t="s">
        <v>71</v>
      </c>
      <c r="S5" s="6" t="s">
        <v>67</v>
      </c>
      <c r="T5" s="6" t="s">
        <v>73</v>
      </c>
      <c r="U5" s="6" t="s">
        <v>81</v>
      </c>
      <c r="W5" s="6" t="s">
        <v>15</v>
      </c>
      <c r="X5" s="6" t="s">
        <v>16</v>
      </c>
      <c r="Z5" s="6" t="s">
        <v>103</v>
      </c>
    </row>
    <row r="6" spans="1:26" x14ac:dyDescent="0.25">
      <c r="A6" s="5">
        <f t="shared" si="0"/>
        <v>3</v>
      </c>
      <c r="B6" s="7"/>
      <c r="C6" s="5"/>
      <c r="D6" s="5"/>
      <c r="E6" s="5"/>
      <c r="F6" s="5"/>
      <c r="G6" s="5"/>
      <c r="H6" s="9"/>
      <c r="I6" s="6" t="str">
        <f t="shared" si="1"/>
        <v>EMPTY</v>
      </c>
      <c r="J6" s="6" t="s">
        <v>39</v>
      </c>
      <c r="K6" s="6" t="s">
        <v>39</v>
      </c>
      <c r="L6" s="6" t="s">
        <v>47</v>
      </c>
      <c r="M6" s="6" t="s">
        <v>48</v>
      </c>
      <c r="N6" s="6" t="s">
        <v>49</v>
      </c>
      <c r="O6" s="6" t="s">
        <v>52</v>
      </c>
      <c r="P6" s="6" t="s">
        <v>65</v>
      </c>
      <c r="Q6" s="6" t="s">
        <v>71</v>
      </c>
      <c r="R6" s="6" t="s">
        <v>79</v>
      </c>
      <c r="S6" s="6" t="s">
        <v>68</v>
      </c>
      <c r="T6" s="6" t="s">
        <v>88</v>
      </c>
      <c r="U6" s="6" t="s">
        <v>93</v>
      </c>
      <c r="W6" s="6" t="s">
        <v>18</v>
      </c>
      <c r="X6" s="6" t="s">
        <v>19</v>
      </c>
    </row>
    <row r="7" spans="1:26" x14ac:dyDescent="0.25">
      <c r="A7" s="4">
        <f t="shared" si="0"/>
        <v>4</v>
      </c>
      <c r="B7" s="8"/>
      <c r="C7" s="4"/>
      <c r="D7" s="4"/>
      <c r="E7" s="4"/>
      <c r="F7" s="4"/>
      <c r="G7" s="4"/>
      <c r="H7" s="16"/>
      <c r="I7" s="6" t="str">
        <f t="shared" si="1"/>
        <v>EMPTY</v>
      </c>
      <c r="J7" s="6" t="s">
        <v>40</v>
      </c>
      <c r="K7" s="6" t="s">
        <v>40</v>
      </c>
      <c r="L7" s="6" t="s">
        <v>48</v>
      </c>
      <c r="M7" s="6" t="s">
        <v>49</v>
      </c>
      <c r="N7" s="6" t="s">
        <v>52</v>
      </c>
      <c r="O7" s="6" t="s">
        <v>55</v>
      </c>
      <c r="P7" s="6" t="s">
        <v>66</v>
      </c>
      <c r="Q7" s="6" t="s">
        <v>72</v>
      </c>
      <c r="R7" s="6" t="s">
        <v>67</v>
      </c>
      <c r="S7" s="6" t="s">
        <v>80</v>
      </c>
      <c r="T7" s="6" t="s">
        <v>89</v>
      </c>
      <c r="U7" s="6" t="s">
        <v>94</v>
      </c>
      <c r="W7" s="6" t="s">
        <v>21</v>
      </c>
      <c r="X7" s="6" t="s">
        <v>22</v>
      </c>
    </row>
    <row r="8" spans="1:26" x14ac:dyDescent="0.25">
      <c r="A8" s="5">
        <f t="shared" si="0"/>
        <v>5</v>
      </c>
      <c r="B8" s="7"/>
      <c r="C8" s="5"/>
      <c r="D8" s="5"/>
      <c r="E8" s="5"/>
      <c r="F8" s="5"/>
      <c r="G8" s="5"/>
      <c r="H8" s="9"/>
      <c r="I8" s="6" t="str">
        <f t="shared" si="1"/>
        <v>EMPTY</v>
      </c>
      <c r="J8" s="6" t="s">
        <v>41</v>
      </c>
      <c r="K8" s="6" t="s">
        <v>41</v>
      </c>
      <c r="L8" s="6" t="s">
        <v>49</v>
      </c>
      <c r="M8" s="6" t="s">
        <v>52</v>
      </c>
      <c r="N8" s="6" t="s">
        <v>55</v>
      </c>
      <c r="O8" s="6" t="s">
        <v>56</v>
      </c>
      <c r="P8" s="6" t="s">
        <v>57</v>
      </c>
      <c r="Q8" s="6" t="s">
        <v>73</v>
      </c>
      <c r="R8" s="6" t="s">
        <v>68</v>
      </c>
      <c r="S8" s="6" t="s">
        <v>81</v>
      </c>
      <c r="T8" s="6" t="s">
        <v>84</v>
      </c>
      <c r="U8" s="6" t="s">
        <v>95</v>
      </c>
    </row>
    <row r="9" spans="1:26" x14ac:dyDescent="0.25">
      <c r="A9" s="4">
        <f t="shared" si="0"/>
        <v>6</v>
      </c>
      <c r="B9" s="8"/>
      <c r="C9" s="4"/>
      <c r="D9" s="4"/>
      <c r="E9" s="4"/>
      <c r="F9" s="4"/>
      <c r="G9" s="4"/>
      <c r="H9" s="16"/>
      <c r="I9" s="6" t="str">
        <f t="shared" si="1"/>
        <v>EMPTY</v>
      </c>
      <c r="L9" s="6" t="s">
        <v>50</v>
      </c>
      <c r="M9" s="6" t="s">
        <v>53</v>
      </c>
      <c r="N9" s="6" t="s">
        <v>56</v>
      </c>
      <c r="O9" s="6" t="s">
        <v>57</v>
      </c>
      <c r="P9" s="6" t="s">
        <v>67</v>
      </c>
      <c r="Q9" s="6" t="s">
        <v>74</v>
      </c>
      <c r="R9" s="6" t="s">
        <v>80</v>
      </c>
      <c r="S9" s="6" t="s">
        <v>84</v>
      </c>
      <c r="T9" s="6" t="s">
        <v>90</v>
      </c>
      <c r="U9" s="6" t="s">
        <v>96</v>
      </c>
    </row>
    <row r="10" spans="1:26" x14ac:dyDescent="0.25">
      <c r="A10" s="5">
        <f t="shared" si="0"/>
        <v>7</v>
      </c>
      <c r="B10" s="7"/>
      <c r="C10" s="5"/>
      <c r="D10" s="5"/>
      <c r="E10" s="5"/>
      <c r="F10" s="5"/>
      <c r="G10" s="5"/>
      <c r="H10" s="9"/>
      <c r="I10" s="6" t="str">
        <f t="shared" si="1"/>
        <v>EMPTY</v>
      </c>
      <c r="N10" s="6" t="s">
        <v>57</v>
      </c>
      <c r="O10" s="6" t="s">
        <v>60</v>
      </c>
      <c r="P10" s="6" t="s">
        <v>68</v>
      </c>
      <c r="Q10" s="6" t="s">
        <v>75</v>
      </c>
      <c r="R10" s="6" t="s">
        <v>81</v>
      </c>
      <c r="S10" s="6" t="s">
        <v>85</v>
      </c>
    </row>
    <row r="11" spans="1:26" x14ac:dyDescent="0.25">
      <c r="A11" s="4">
        <f t="shared" si="0"/>
        <v>8</v>
      </c>
      <c r="B11" s="8"/>
      <c r="C11" s="4"/>
      <c r="D11" s="4"/>
      <c r="E11" s="4"/>
      <c r="F11" s="4"/>
      <c r="G11" s="4"/>
      <c r="H11" s="4" t="str">
        <f>IFERROR(VLOOKUP(C11,$W$2:$X$7,2,FALSE),"")</f>
        <v/>
      </c>
      <c r="I11" s="6" t="str">
        <f>IF(OR($H11="",$D11=""),"EMPTY",$H11&amp;"_"&amp;$D11)</f>
        <v>EMPTY</v>
      </c>
      <c r="N11" s="6" t="s">
        <v>58</v>
      </c>
      <c r="O11" s="6" t="s">
        <v>61</v>
      </c>
      <c r="P11" s="6" t="s">
        <v>69</v>
      </c>
      <c r="Q11" s="6" t="s">
        <v>76</v>
      </c>
      <c r="R11" s="6" t="s">
        <v>82</v>
      </c>
      <c r="S11" s="6" t="s">
        <v>86</v>
      </c>
    </row>
    <row r="12" spans="1:26" x14ac:dyDescent="0.25">
      <c r="A12" s="5">
        <f t="shared" si="0"/>
        <v>9</v>
      </c>
      <c r="B12" s="7"/>
      <c r="C12" s="5"/>
      <c r="D12" s="5"/>
      <c r="E12" s="5"/>
      <c r="F12" s="5"/>
      <c r="G12" s="5"/>
      <c r="H12" s="5" t="str">
        <f>IFERROR(VLOOKUP(C12,$W$2:$X$7,2,FALSE),"")</f>
        <v/>
      </c>
      <c r="I12" s="6" t="str">
        <f>IF(OR($H12="",$D12=""),"EMPTY",$H12&amp;"_"&amp;$D12)</f>
        <v>EMPTY</v>
      </c>
    </row>
    <row r="13" spans="1:26" x14ac:dyDescent="0.25">
      <c r="A13" s="4">
        <f t="shared" si="0"/>
        <v>10</v>
      </c>
      <c r="B13" s="8"/>
      <c r="C13" s="4"/>
      <c r="D13" s="4"/>
      <c r="E13" s="4"/>
      <c r="F13" s="4"/>
      <c r="G13" s="4"/>
      <c r="H13" s="4" t="str">
        <f t="shared" ref="H13:H17" si="2">IFERROR(VLOOKUP(C13,$W$2:$X$7,2,FALSE),"")</f>
        <v/>
      </c>
    </row>
    <row r="14" spans="1:26" x14ac:dyDescent="0.25">
      <c r="A14" s="5">
        <f t="shared" si="0"/>
        <v>11</v>
      </c>
      <c r="B14" s="7"/>
      <c r="C14" s="5"/>
      <c r="D14" s="5"/>
      <c r="E14" s="5"/>
      <c r="F14" s="5"/>
      <c r="G14" s="5"/>
      <c r="H14" s="5" t="str">
        <f t="shared" si="2"/>
        <v/>
      </c>
    </row>
    <row r="15" spans="1:26" x14ac:dyDescent="0.25">
      <c r="A15" s="4">
        <f t="shared" si="0"/>
        <v>12</v>
      </c>
      <c r="B15" s="8"/>
      <c r="C15" s="4"/>
      <c r="D15" s="4"/>
      <c r="E15" s="4"/>
      <c r="F15" s="4"/>
      <c r="G15" s="4"/>
      <c r="H15" s="4" t="str">
        <f t="shared" si="2"/>
        <v/>
      </c>
    </row>
    <row r="16" spans="1:26" x14ac:dyDescent="0.25">
      <c r="A16" s="4">
        <f t="shared" si="0"/>
        <v>13</v>
      </c>
      <c r="B16" s="8"/>
      <c r="C16" s="4"/>
      <c r="D16" s="4"/>
      <c r="E16" s="4"/>
      <c r="F16" s="4"/>
      <c r="G16" s="4"/>
      <c r="H16" s="4" t="str">
        <f t="shared" si="2"/>
        <v/>
      </c>
    </row>
    <row r="17" spans="1:8" x14ac:dyDescent="0.25">
      <c r="A17" s="5">
        <f t="shared" si="0"/>
        <v>14</v>
      </c>
      <c r="B17" s="7"/>
      <c r="C17" s="5"/>
      <c r="D17" s="5"/>
      <c r="E17" s="5"/>
      <c r="F17" s="5"/>
      <c r="G17" s="5"/>
      <c r="H17" s="5" t="str">
        <f t="shared" si="2"/>
        <v/>
      </c>
    </row>
    <row r="18" spans="1:8" x14ac:dyDescent="0.25">
      <c r="A18" s="4">
        <f t="shared" si="0"/>
        <v>15</v>
      </c>
      <c r="B18" s="8"/>
      <c r="C18" s="4"/>
      <c r="D18" s="4"/>
      <c r="E18" s="4"/>
      <c r="F18" s="4"/>
      <c r="G18" s="4"/>
      <c r="H18" s="4" t="str">
        <f t="shared" ref="H18:H23" si="3">IFERROR(VLOOKUP(C18,$W$2:$X$7,2,FALSE),"")</f>
        <v/>
      </c>
    </row>
    <row r="19" spans="1:8" x14ac:dyDescent="0.25">
      <c r="A19" s="5">
        <f t="shared" si="0"/>
        <v>16</v>
      </c>
      <c r="B19" s="7"/>
      <c r="C19" s="5"/>
      <c r="D19" s="5"/>
      <c r="E19" s="5"/>
      <c r="F19" s="5"/>
      <c r="G19" s="5"/>
      <c r="H19" s="5" t="str">
        <f t="shared" si="3"/>
        <v/>
      </c>
    </row>
    <row r="20" spans="1:8" x14ac:dyDescent="0.25">
      <c r="A20" s="4">
        <f t="shared" si="0"/>
        <v>17</v>
      </c>
      <c r="B20" s="8"/>
      <c r="C20" s="4"/>
      <c r="D20" s="4"/>
      <c r="E20" s="4"/>
      <c r="F20" s="4"/>
      <c r="G20" s="4"/>
      <c r="H20" s="4" t="str">
        <f t="shared" si="3"/>
        <v/>
      </c>
    </row>
    <row r="21" spans="1:8" x14ac:dyDescent="0.25">
      <c r="A21" s="4">
        <f t="shared" si="0"/>
        <v>18</v>
      </c>
      <c r="B21" s="8"/>
      <c r="C21" s="4"/>
      <c r="D21" s="4"/>
      <c r="E21" s="4"/>
      <c r="F21" s="4"/>
      <c r="G21" s="4"/>
      <c r="H21" s="4" t="str">
        <f t="shared" si="3"/>
        <v/>
      </c>
    </row>
    <row r="22" spans="1:8" x14ac:dyDescent="0.25">
      <c r="A22" s="5">
        <f t="shared" si="0"/>
        <v>19</v>
      </c>
      <c r="B22" s="7"/>
      <c r="C22" s="5"/>
      <c r="D22" s="5"/>
      <c r="E22" s="5"/>
      <c r="F22" s="5"/>
      <c r="G22" s="5"/>
      <c r="H22" s="5" t="str">
        <f t="shared" si="3"/>
        <v/>
      </c>
    </row>
    <row r="23" spans="1:8" x14ac:dyDescent="0.25">
      <c r="A23" s="4">
        <f t="shared" si="0"/>
        <v>20</v>
      </c>
      <c r="B23" s="8"/>
      <c r="C23" s="4"/>
      <c r="D23" s="4"/>
      <c r="E23" s="4"/>
      <c r="F23" s="4"/>
      <c r="G23" s="4"/>
      <c r="H23" s="4" t="str">
        <f t="shared" si="3"/>
        <v/>
      </c>
    </row>
  </sheetData>
  <autoFilter ref="A3:H12" xr:uid="{00000000-0009-0000-0000-000001000000}"/>
  <mergeCells count="2">
    <mergeCell ref="A1:H1"/>
    <mergeCell ref="A2:H2"/>
  </mergeCells>
  <dataValidations count="4">
    <dataValidation type="list" allowBlank="1" showInputMessage="1" showErrorMessage="1" sqref="C4:C23" xr:uid="{00000000-0002-0000-0100-000000000000}">
      <formula1>$W$2:$W$7</formula1>
    </dataValidation>
    <dataValidation type="list" allowBlank="1" showInputMessage="1" showErrorMessage="1" sqref="D4:D23" xr:uid="{00000000-0002-0000-0100-000001000000}">
      <formula1>$Y$2:$Y$3</formula1>
    </dataValidation>
    <dataValidation type="list" allowBlank="1" showInputMessage="1" showErrorMessage="1" sqref="F4:F23" xr:uid="{00000000-0002-0000-0100-000002000000}">
      <formula1>$Z$2:$Z$5</formula1>
    </dataValidation>
    <dataValidation type="list" allowBlank="1" showInputMessage="1" showErrorMessage="1" sqref="E11:E23" xr:uid="{00000000-0002-0000-0100-000003000000}">
      <formula1>OFFSET($J$2,0,MATCH($I11,$J$1:$V$1,0)-1,COUNTA(OFFSET($J$2,0,MATCH($I11,$J$1:$V$1,0)-1,30,1)),1)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J23"/>
  <sheetViews>
    <sheetView workbookViewId="0">
      <pane ySplit="3" topLeftCell="A4" activePane="bottomLeft" state="frozen"/>
      <selection pane="bottomLeft" activeCell="B10" sqref="B10"/>
    </sheetView>
  </sheetViews>
  <sheetFormatPr baseColWidth="10" defaultColWidth="9.140625" defaultRowHeight="15" x14ac:dyDescent="0.25"/>
  <cols>
    <col min="1" max="1" width="8.7109375" customWidth="1"/>
    <col min="2" max="2" width="32.7109375" customWidth="1"/>
    <col min="3" max="3" width="28.7109375" customWidth="1"/>
    <col min="4" max="4" width="18.7109375" customWidth="1"/>
    <col min="5" max="5" width="16.7109375" customWidth="1"/>
    <col min="6" max="6" width="26.7109375" customWidth="1"/>
    <col min="8" max="10" width="0" style="6" hidden="1" customWidth="1"/>
  </cols>
  <sheetData>
    <row r="1" spans="1:10" ht="30" customHeight="1" x14ac:dyDescent="0.25">
      <c r="A1" s="11" t="s">
        <v>104</v>
      </c>
      <c r="B1" s="11"/>
      <c r="C1" s="11"/>
      <c r="D1" s="11"/>
      <c r="E1" s="11"/>
      <c r="F1" s="11"/>
      <c r="H1" s="6" t="s">
        <v>106</v>
      </c>
      <c r="I1" s="6" t="s">
        <v>107</v>
      </c>
      <c r="J1" s="6" t="s">
        <v>108</v>
      </c>
    </row>
    <row r="2" spans="1:10" ht="6" customHeight="1" x14ac:dyDescent="0.25">
      <c r="A2" s="11"/>
      <c r="B2" s="11"/>
      <c r="C2" s="11"/>
      <c r="D2" s="11"/>
      <c r="E2" s="11"/>
      <c r="F2" s="11"/>
      <c r="H2" s="6" t="s">
        <v>6</v>
      </c>
      <c r="I2" s="6" t="s">
        <v>98</v>
      </c>
      <c r="J2" s="6" t="s">
        <v>109</v>
      </c>
    </row>
    <row r="3" spans="1:10" ht="24" customHeight="1" x14ac:dyDescent="0.25">
      <c r="A3" s="3" t="s">
        <v>27</v>
      </c>
      <c r="B3" s="3" t="s">
        <v>28</v>
      </c>
      <c r="C3" s="3" t="s">
        <v>5</v>
      </c>
      <c r="D3" s="3" t="s">
        <v>29</v>
      </c>
      <c r="E3" s="3" t="s">
        <v>105</v>
      </c>
      <c r="F3" s="3" t="s">
        <v>32</v>
      </c>
      <c r="H3" s="6" t="s">
        <v>9</v>
      </c>
      <c r="I3" s="6" t="s">
        <v>99</v>
      </c>
      <c r="J3" s="6" t="s">
        <v>110</v>
      </c>
    </row>
    <row r="4" spans="1:10" x14ac:dyDescent="0.25">
      <c r="A4" s="5">
        <f t="shared" ref="A4:A23" si="0">ROW()-3</f>
        <v>1</v>
      </c>
      <c r="B4" s="7"/>
      <c r="C4" s="5"/>
      <c r="D4" s="5"/>
      <c r="E4" s="5"/>
      <c r="F4" s="5"/>
      <c r="J4" s="6" t="s">
        <v>111</v>
      </c>
    </row>
    <row r="5" spans="1:10" x14ac:dyDescent="0.25">
      <c r="A5" s="4">
        <f t="shared" si="0"/>
        <v>2</v>
      </c>
      <c r="B5" s="8"/>
      <c r="C5" s="4"/>
      <c r="D5" s="4"/>
      <c r="E5" s="4"/>
      <c r="F5" s="4"/>
      <c r="J5" s="6" t="s">
        <v>112</v>
      </c>
    </row>
    <row r="6" spans="1:10" x14ac:dyDescent="0.25">
      <c r="A6" s="5">
        <f t="shared" si="0"/>
        <v>3</v>
      </c>
      <c r="B6" s="7"/>
      <c r="C6" s="5"/>
      <c r="D6" s="5"/>
      <c r="E6" s="5"/>
      <c r="F6" s="5"/>
      <c r="J6" s="6" t="s">
        <v>113</v>
      </c>
    </row>
    <row r="7" spans="1:10" x14ac:dyDescent="0.25">
      <c r="A7" s="4">
        <f t="shared" si="0"/>
        <v>4</v>
      </c>
      <c r="B7" s="8"/>
      <c r="C7" s="4"/>
      <c r="D7" s="4"/>
      <c r="E7" s="4"/>
      <c r="F7" s="4"/>
      <c r="J7" s="6" t="s">
        <v>114</v>
      </c>
    </row>
    <row r="8" spans="1:10" x14ac:dyDescent="0.25">
      <c r="A8" s="5">
        <f t="shared" si="0"/>
        <v>5</v>
      </c>
      <c r="B8" s="7"/>
      <c r="C8" s="5"/>
      <c r="D8" s="5"/>
      <c r="E8" s="5"/>
      <c r="F8" s="5"/>
      <c r="J8" s="6" t="s">
        <v>115</v>
      </c>
    </row>
    <row r="9" spans="1:10" x14ac:dyDescent="0.25">
      <c r="A9" s="4">
        <f t="shared" si="0"/>
        <v>6</v>
      </c>
      <c r="B9" s="8"/>
      <c r="C9" s="4"/>
      <c r="D9" s="4"/>
      <c r="E9" s="4"/>
      <c r="F9" s="4"/>
      <c r="J9" s="6" t="s">
        <v>116</v>
      </c>
    </row>
    <row r="10" spans="1:10" x14ac:dyDescent="0.25">
      <c r="A10" s="5">
        <f t="shared" si="0"/>
        <v>7</v>
      </c>
      <c r="B10" s="7"/>
      <c r="C10" s="5"/>
      <c r="D10" s="5"/>
      <c r="E10" s="5"/>
      <c r="F10" s="5"/>
      <c r="J10" s="6" t="s">
        <v>117</v>
      </c>
    </row>
    <row r="11" spans="1:10" x14ac:dyDescent="0.25">
      <c r="A11" s="4">
        <f t="shared" si="0"/>
        <v>8</v>
      </c>
      <c r="B11" s="8"/>
      <c r="C11" s="4"/>
      <c r="D11" s="4"/>
      <c r="E11" s="4"/>
      <c r="F11" s="4"/>
      <c r="J11" s="6" t="s">
        <v>118</v>
      </c>
    </row>
    <row r="12" spans="1:10" x14ac:dyDescent="0.25">
      <c r="A12" s="5">
        <f t="shared" si="0"/>
        <v>9</v>
      </c>
      <c r="B12" s="7"/>
      <c r="C12" s="5"/>
      <c r="D12" s="5"/>
      <c r="E12" s="5"/>
      <c r="F12" s="5"/>
    </row>
    <row r="13" spans="1:10" x14ac:dyDescent="0.25">
      <c r="A13" s="4">
        <f t="shared" si="0"/>
        <v>10</v>
      </c>
      <c r="B13" s="8"/>
      <c r="C13" s="4"/>
      <c r="D13" s="4"/>
      <c r="E13" s="4"/>
      <c r="F13" s="4"/>
    </row>
    <row r="14" spans="1:10" x14ac:dyDescent="0.25">
      <c r="A14" s="5">
        <f t="shared" si="0"/>
        <v>11</v>
      </c>
      <c r="B14" s="7"/>
      <c r="C14" s="5"/>
      <c r="D14" s="5"/>
      <c r="E14" s="5"/>
      <c r="F14" s="5"/>
    </row>
    <row r="15" spans="1:10" x14ac:dyDescent="0.25">
      <c r="A15" s="4">
        <f t="shared" si="0"/>
        <v>12</v>
      </c>
      <c r="B15" s="8"/>
      <c r="C15" s="4"/>
      <c r="D15" s="4"/>
      <c r="E15" s="4"/>
      <c r="F15" s="4"/>
    </row>
    <row r="16" spans="1:10" x14ac:dyDescent="0.25">
      <c r="A16" s="5">
        <f t="shared" si="0"/>
        <v>13</v>
      </c>
      <c r="B16" s="7"/>
      <c r="C16" s="5"/>
      <c r="D16" s="5"/>
      <c r="E16" s="5"/>
      <c r="F16" s="5"/>
    </row>
    <row r="17" spans="1:6" x14ac:dyDescent="0.25">
      <c r="A17" s="4">
        <f t="shared" si="0"/>
        <v>14</v>
      </c>
      <c r="B17" s="8"/>
      <c r="C17" s="4"/>
      <c r="D17" s="4"/>
      <c r="E17" s="4"/>
      <c r="F17" s="4"/>
    </row>
    <row r="18" spans="1:6" x14ac:dyDescent="0.25">
      <c r="A18" s="5">
        <f t="shared" si="0"/>
        <v>15</v>
      </c>
      <c r="B18" s="7"/>
      <c r="C18" s="5"/>
      <c r="D18" s="5"/>
      <c r="E18" s="5"/>
      <c r="F18" s="5"/>
    </row>
    <row r="19" spans="1:6" x14ac:dyDescent="0.25">
      <c r="A19" s="4">
        <f t="shared" si="0"/>
        <v>16</v>
      </c>
      <c r="B19" s="8"/>
      <c r="C19" s="4"/>
      <c r="D19" s="4"/>
      <c r="E19" s="4"/>
      <c r="F19" s="4"/>
    </row>
    <row r="20" spans="1:6" x14ac:dyDescent="0.25">
      <c r="A20" s="5">
        <f t="shared" si="0"/>
        <v>17</v>
      </c>
      <c r="B20" s="7"/>
      <c r="C20" s="5"/>
      <c r="D20" s="5"/>
      <c r="E20" s="5"/>
      <c r="F20" s="5"/>
    </row>
    <row r="21" spans="1:6" x14ac:dyDescent="0.25">
      <c r="A21" s="4">
        <f t="shared" si="0"/>
        <v>18</v>
      </c>
      <c r="B21" s="8"/>
      <c r="C21" s="4"/>
      <c r="D21" s="4"/>
      <c r="E21" s="4"/>
      <c r="F21" s="4"/>
    </row>
    <row r="22" spans="1:6" x14ac:dyDescent="0.25">
      <c r="A22" s="5">
        <f t="shared" si="0"/>
        <v>19</v>
      </c>
      <c r="B22" s="7"/>
      <c r="C22" s="5"/>
      <c r="D22" s="5"/>
      <c r="E22" s="5"/>
      <c r="F22" s="5"/>
    </row>
    <row r="23" spans="1:6" x14ac:dyDescent="0.25">
      <c r="A23" s="4">
        <f t="shared" si="0"/>
        <v>20</v>
      </c>
      <c r="B23" s="8"/>
      <c r="C23" s="4"/>
      <c r="D23" s="4"/>
      <c r="E23" s="4"/>
      <c r="F23" s="4"/>
    </row>
  </sheetData>
  <autoFilter ref="A3:F23" xr:uid="{00000000-0009-0000-0000-000002000000}"/>
  <mergeCells count="2">
    <mergeCell ref="A1:F1"/>
    <mergeCell ref="A2:F2"/>
  </mergeCells>
  <dataValidations count="3">
    <dataValidation type="list" allowBlank="1" showInputMessage="1" showErrorMessage="1" sqref="C4:C23" xr:uid="{00000000-0002-0000-0200-000000000000}">
      <formula1>$H$2:$H$3</formula1>
    </dataValidation>
    <dataValidation type="list" allowBlank="1" showInputMessage="1" showErrorMessage="1" sqref="D4:D23" xr:uid="{00000000-0002-0000-0200-000001000000}">
      <formula1>$I$2:$I$3</formula1>
    </dataValidation>
    <dataValidation type="list" allowBlank="1" showInputMessage="1" showErrorMessage="1" sqref="E4:E23" xr:uid="{00000000-0002-0000-0200-000002000000}">
      <formula1>$J$2:$J$11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J23"/>
  <sheetViews>
    <sheetView workbookViewId="0">
      <pane ySplit="3" topLeftCell="A4" activePane="bottomLeft" state="frozen"/>
      <selection pane="bottomLeft" activeCell="B10" sqref="B4:B10"/>
    </sheetView>
  </sheetViews>
  <sheetFormatPr baseColWidth="10" defaultColWidth="9.140625" defaultRowHeight="15" x14ac:dyDescent="0.25"/>
  <cols>
    <col min="1" max="1" width="8.7109375" customWidth="1"/>
    <col min="2" max="2" width="32.7109375" customWidth="1"/>
    <col min="3" max="3" width="28.7109375" customWidth="1"/>
    <col min="4" max="4" width="18.7109375" customWidth="1"/>
    <col min="5" max="5" width="30.7109375" customWidth="1"/>
    <col min="6" max="6" width="26.7109375" customWidth="1"/>
    <col min="8" max="10" width="0" style="6" hidden="1" customWidth="1"/>
  </cols>
  <sheetData>
    <row r="1" spans="1:10" ht="30" customHeight="1" x14ac:dyDescent="0.25">
      <c r="A1" s="12" t="s">
        <v>119</v>
      </c>
      <c r="B1" s="12"/>
      <c r="C1" s="12"/>
      <c r="D1" s="12"/>
      <c r="E1" s="12"/>
      <c r="F1" s="12"/>
      <c r="H1" s="6" t="s">
        <v>106</v>
      </c>
      <c r="I1" s="6" t="s">
        <v>107</v>
      </c>
      <c r="J1" s="6" t="s">
        <v>108</v>
      </c>
    </row>
    <row r="2" spans="1:10" ht="6" customHeight="1" x14ac:dyDescent="0.25">
      <c r="A2" s="12"/>
      <c r="B2" s="12"/>
      <c r="C2" s="12"/>
      <c r="D2" s="12"/>
      <c r="E2" s="12"/>
      <c r="F2" s="12"/>
      <c r="H2" s="6" t="s">
        <v>6</v>
      </c>
      <c r="I2" s="6" t="s">
        <v>98</v>
      </c>
      <c r="J2" s="6" t="s">
        <v>121</v>
      </c>
    </row>
    <row r="3" spans="1:10" ht="24" customHeight="1" x14ac:dyDescent="0.25">
      <c r="A3" s="3" t="s">
        <v>27</v>
      </c>
      <c r="B3" s="3" t="s">
        <v>28</v>
      </c>
      <c r="C3" s="3" t="s">
        <v>5</v>
      </c>
      <c r="D3" s="3" t="s">
        <v>29</v>
      </c>
      <c r="E3" s="3" t="s">
        <v>120</v>
      </c>
      <c r="F3" s="3" t="s">
        <v>32</v>
      </c>
      <c r="H3" s="6" t="s">
        <v>9</v>
      </c>
      <c r="I3" s="6" t="s">
        <v>99</v>
      </c>
      <c r="J3" s="6" t="s">
        <v>122</v>
      </c>
    </row>
    <row r="4" spans="1:10" x14ac:dyDescent="0.25">
      <c r="A4" s="5">
        <f t="shared" ref="A4:A23" si="0">ROW()-3</f>
        <v>1</v>
      </c>
      <c r="B4" s="7"/>
      <c r="C4" s="5"/>
      <c r="D4" s="5"/>
      <c r="E4" s="5"/>
      <c r="F4" s="5"/>
      <c r="H4" s="6" t="s">
        <v>12</v>
      </c>
      <c r="J4" s="6" t="s">
        <v>123</v>
      </c>
    </row>
    <row r="5" spans="1:10" x14ac:dyDescent="0.25">
      <c r="A5" s="4">
        <f t="shared" si="0"/>
        <v>2</v>
      </c>
      <c r="B5" s="8"/>
      <c r="C5" s="4"/>
      <c r="D5" s="4"/>
      <c r="E5" s="4"/>
      <c r="F5" s="4"/>
      <c r="H5" s="6" t="s">
        <v>15</v>
      </c>
      <c r="J5" s="6" t="s">
        <v>124</v>
      </c>
    </row>
    <row r="6" spans="1:10" x14ac:dyDescent="0.25">
      <c r="A6" s="5">
        <f t="shared" si="0"/>
        <v>3</v>
      </c>
      <c r="B6" s="7"/>
      <c r="C6" s="5"/>
      <c r="D6" s="5"/>
      <c r="E6" s="5"/>
      <c r="F6" s="5"/>
      <c r="H6" s="6" t="s">
        <v>18</v>
      </c>
      <c r="J6" s="6" t="s">
        <v>125</v>
      </c>
    </row>
    <row r="7" spans="1:10" x14ac:dyDescent="0.25">
      <c r="A7" s="4">
        <f t="shared" si="0"/>
        <v>4</v>
      </c>
      <c r="B7" s="8"/>
      <c r="C7" s="4"/>
      <c r="D7" s="4"/>
      <c r="E7" s="4"/>
      <c r="F7" s="4"/>
      <c r="H7" s="6" t="s">
        <v>21</v>
      </c>
      <c r="J7" s="6" t="s">
        <v>126</v>
      </c>
    </row>
    <row r="8" spans="1:10" x14ac:dyDescent="0.25">
      <c r="A8" s="5">
        <f t="shared" si="0"/>
        <v>5</v>
      </c>
      <c r="B8" s="7"/>
      <c r="C8" s="5"/>
      <c r="D8" s="5"/>
      <c r="E8" s="5"/>
      <c r="F8" s="5"/>
      <c r="J8" s="6" t="s">
        <v>127</v>
      </c>
    </row>
    <row r="9" spans="1:10" x14ac:dyDescent="0.25">
      <c r="A9" s="4">
        <f t="shared" si="0"/>
        <v>6</v>
      </c>
      <c r="B9" s="8"/>
      <c r="C9" s="4"/>
      <c r="D9" s="4"/>
      <c r="E9" s="4"/>
      <c r="F9" s="4"/>
      <c r="J9" s="6" t="s">
        <v>128</v>
      </c>
    </row>
    <row r="10" spans="1:10" x14ac:dyDescent="0.25">
      <c r="A10" s="5">
        <f t="shared" si="0"/>
        <v>7</v>
      </c>
      <c r="B10" s="7"/>
      <c r="C10" s="5"/>
      <c r="D10" s="5"/>
      <c r="E10" s="5"/>
      <c r="F10" s="5"/>
      <c r="J10" s="6" t="s">
        <v>129</v>
      </c>
    </row>
    <row r="11" spans="1:10" x14ac:dyDescent="0.25">
      <c r="A11" s="4">
        <f t="shared" si="0"/>
        <v>8</v>
      </c>
      <c r="B11" s="8"/>
      <c r="C11" s="4"/>
      <c r="D11" s="4"/>
      <c r="E11" s="4"/>
      <c r="F11" s="4"/>
      <c r="J11" s="6" t="s">
        <v>130</v>
      </c>
    </row>
    <row r="12" spans="1:10" x14ac:dyDescent="0.25">
      <c r="A12" s="5">
        <f t="shared" si="0"/>
        <v>9</v>
      </c>
      <c r="B12" s="7"/>
      <c r="C12" s="5"/>
      <c r="D12" s="5"/>
      <c r="E12" s="5"/>
      <c r="F12" s="5"/>
      <c r="J12" s="6" t="s">
        <v>131</v>
      </c>
    </row>
    <row r="13" spans="1:10" x14ac:dyDescent="0.25">
      <c r="A13" s="4">
        <f t="shared" si="0"/>
        <v>10</v>
      </c>
      <c r="B13" s="8"/>
      <c r="C13" s="4"/>
      <c r="D13" s="4"/>
      <c r="E13" s="4"/>
      <c r="F13" s="4"/>
      <c r="J13" s="6" t="s">
        <v>132</v>
      </c>
    </row>
    <row r="14" spans="1:10" x14ac:dyDescent="0.25">
      <c r="A14" s="5">
        <f t="shared" si="0"/>
        <v>11</v>
      </c>
      <c r="B14" s="7"/>
      <c r="C14" s="5"/>
      <c r="D14" s="5"/>
      <c r="E14" s="5"/>
      <c r="F14" s="5"/>
      <c r="J14" s="6" t="s">
        <v>133</v>
      </c>
    </row>
    <row r="15" spans="1:10" x14ac:dyDescent="0.25">
      <c r="A15" s="4">
        <f t="shared" si="0"/>
        <v>12</v>
      </c>
      <c r="B15" s="8"/>
      <c r="C15" s="4"/>
      <c r="D15" s="4"/>
      <c r="E15" s="4"/>
      <c r="F15" s="4"/>
      <c r="J15" s="6" t="s">
        <v>134</v>
      </c>
    </row>
    <row r="16" spans="1:10" x14ac:dyDescent="0.25">
      <c r="A16" s="5">
        <f t="shared" si="0"/>
        <v>13</v>
      </c>
      <c r="B16" s="7"/>
      <c r="C16" s="5"/>
      <c r="D16" s="5"/>
      <c r="E16" s="5"/>
      <c r="F16" s="5"/>
      <c r="J16" s="6" t="s">
        <v>135</v>
      </c>
    </row>
    <row r="17" spans="1:10" x14ac:dyDescent="0.25">
      <c r="A17" s="4">
        <f t="shared" si="0"/>
        <v>14</v>
      </c>
      <c r="B17" s="8"/>
      <c r="C17" s="4"/>
      <c r="D17" s="4"/>
      <c r="E17" s="4"/>
      <c r="F17" s="4"/>
      <c r="J17" s="6" t="s">
        <v>136</v>
      </c>
    </row>
    <row r="18" spans="1:10" x14ac:dyDescent="0.25">
      <c r="A18" s="5">
        <f t="shared" si="0"/>
        <v>15</v>
      </c>
      <c r="B18" s="7"/>
      <c r="C18" s="5"/>
      <c r="D18" s="5"/>
      <c r="E18" s="5"/>
      <c r="F18" s="5"/>
      <c r="J18" s="6" t="s">
        <v>137</v>
      </c>
    </row>
    <row r="19" spans="1:10" x14ac:dyDescent="0.25">
      <c r="A19" s="4">
        <f t="shared" si="0"/>
        <v>16</v>
      </c>
      <c r="B19" s="8"/>
      <c r="C19" s="4"/>
      <c r="D19" s="4"/>
      <c r="E19" s="4"/>
      <c r="F19" s="4"/>
    </row>
    <row r="20" spans="1:10" x14ac:dyDescent="0.25">
      <c r="A20" s="5">
        <f t="shared" si="0"/>
        <v>17</v>
      </c>
      <c r="B20" s="7"/>
      <c r="C20" s="5"/>
      <c r="D20" s="5"/>
      <c r="E20" s="5"/>
      <c r="F20" s="5"/>
    </row>
    <row r="21" spans="1:10" x14ac:dyDescent="0.25">
      <c r="A21" s="4">
        <f t="shared" si="0"/>
        <v>18</v>
      </c>
      <c r="B21" s="8"/>
      <c r="C21" s="4"/>
      <c r="D21" s="4"/>
      <c r="E21" s="4"/>
      <c r="F21" s="4"/>
    </row>
    <row r="22" spans="1:10" x14ac:dyDescent="0.25">
      <c r="A22" s="5">
        <f t="shared" si="0"/>
        <v>19</v>
      </c>
      <c r="B22" s="7"/>
      <c r="C22" s="5"/>
      <c r="D22" s="5"/>
      <c r="E22" s="5"/>
      <c r="F22" s="5"/>
    </row>
    <row r="23" spans="1:10" x14ac:dyDescent="0.25">
      <c r="A23" s="4">
        <f t="shared" si="0"/>
        <v>20</v>
      </c>
      <c r="B23" s="8"/>
      <c r="C23" s="4"/>
      <c r="D23" s="4"/>
      <c r="E23" s="4"/>
      <c r="F23" s="4"/>
    </row>
  </sheetData>
  <autoFilter ref="A3:F23" xr:uid="{00000000-0009-0000-0000-000003000000}"/>
  <mergeCells count="2">
    <mergeCell ref="A1:F1"/>
    <mergeCell ref="A2:F2"/>
  </mergeCells>
  <dataValidations count="3">
    <dataValidation type="list" allowBlank="1" showInputMessage="1" showErrorMessage="1" sqref="C4:C23" xr:uid="{00000000-0002-0000-0300-000000000000}">
      <formula1>$H$2:$H$7</formula1>
    </dataValidation>
    <dataValidation type="list" allowBlank="1" showInputMessage="1" showErrorMessage="1" sqref="D4:D23" xr:uid="{00000000-0002-0000-0300-000001000000}">
      <formula1>$I$2:$I$3</formula1>
    </dataValidation>
    <dataValidation type="list" allowBlank="1" showInputMessage="1" showErrorMessage="1" sqref="E4:E23" xr:uid="{00000000-0002-0000-0300-000002000000}">
      <formula1>$J$2:$J$18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J23"/>
  <sheetViews>
    <sheetView workbookViewId="0">
      <pane ySplit="3" topLeftCell="A4" activePane="bottomLeft" state="frozen"/>
      <selection pane="bottomLeft" activeCell="B4" sqref="B4:B10"/>
    </sheetView>
  </sheetViews>
  <sheetFormatPr baseColWidth="10" defaultColWidth="9.140625" defaultRowHeight="15" x14ac:dyDescent="0.25"/>
  <cols>
    <col min="1" max="1" width="8.7109375" customWidth="1"/>
    <col min="2" max="2" width="32.7109375" customWidth="1"/>
    <col min="3" max="3" width="28.7109375" customWidth="1"/>
    <col min="4" max="4" width="18.7109375" customWidth="1"/>
    <col min="5" max="5" width="28.7109375" customWidth="1"/>
    <col min="6" max="6" width="26.7109375" customWidth="1"/>
    <col min="8" max="10" width="0" style="6" hidden="1" customWidth="1"/>
  </cols>
  <sheetData>
    <row r="1" spans="1:10" ht="30" customHeight="1" x14ac:dyDescent="0.25">
      <c r="A1" s="13" t="s">
        <v>138</v>
      </c>
      <c r="B1" s="13"/>
      <c r="C1" s="13"/>
      <c r="D1" s="13"/>
      <c r="E1" s="13"/>
      <c r="F1" s="13"/>
      <c r="H1" s="6" t="s">
        <v>106</v>
      </c>
      <c r="I1" s="6" t="s">
        <v>107</v>
      </c>
      <c r="J1" s="6" t="s">
        <v>108</v>
      </c>
    </row>
    <row r="2" spans="1:10" ht="6" customHeight="1" x14ac:dyDescent="0.25">
      <c r="A2" s="13"/>
      <c r="B2" s="13"/>
      <c r="C2" s="13"/>
      <c r="D2" s="13"/>
      <c r="E2" s="13"/>
      <c r="F2" s="13"/>
      <c r="H2" s="6" t="s">
        <v>6</v>
      </c>
      <c r="I2" s="6" t="s">
        <v>98</v>
      </c>
      <c r="J2" s="6" t="s">
        <v>139</v>
      </c>
    </row>
    <row r="3" spans="1:10" ht="24" customHeight="1" x14ac:dyDescent="0.25">
      <c r="A3" s="3" t="s">
        <v>27</v>
      </c>
      <c r="B3" s="3" t="s">
        <v>28</v>
      </c>
      <c r="C3" s="3" t="s">
        <v>5</v>
      </c>
      <c r="D3" s="3" t="s">
        <v>29</v>
      </c>
      <c r="E3" s="3" t="s">
        <v>31</v>
      </c>
      <c r="F3" s="3" t="s">
        <v>32</v>
      </c>
      <c r="H3" s="6" t="s">
        <v>9</v>
      </c>
      <c r="I3" s="6" t="s">
        <v>99</v>
      </c>
      <c r="J3" s="6" t="s">
        <v>140</v>
      </c>
    </row>
    <row r="4" spans="1:10" x14ac:dyDescent="0.25">
      <c r="A4" s="5">
        <f t="shared" ref="A4:A23" si="0">ROW()-3</f>
        <v>1</v>
      </c>
      <c r="B4" s="7"/>
      <c r="C4" s="5"/>
      <c r="D4" s="5"/>
      <c r="E4" s="5"/>
      <c r="F4" s="5"/>
      <c r="H4" s="6" t="s">
        <v>12</v>
      </c>
      <c r="J4" s="6" t="s">
        <v>141</v>
      </c>
    </row>
    <row r="5" spans="1:10" x14ac:dyDescent="0.25">
      <c r="A5" s="4">
        <f t="shared" si="0"/>
        <v>2</v>
      </c>
      <c r="B5" s="8"/>
      <c r="C5" s="4"/>
      <c r="D5" s="4"/>
      <c r="E5" s="4"/>
      <c r="F5" s="4"/>
      <c r="H5" s="6" t="s">
        <v>15</v>
      </c>
    </row>
    <row r="6" spans="1:10" x14ac:dyDescent="0.25">
      <c r="A6" s="5">
        <f t="shared" si="0"/>
        <v>3</v>
      </c>
      <c r="B6" s="7"/>
      <c r="C6" s="5"/>
      <c r="D6" s="5"/>
      <c r="E6" s="5"/>
      <c r="F6" s="5"/>
      <c r="H6" s="6" t="s">
        <v>18</v>
      </c>
    </row>
    <row r="7" spans="1:10" x14ac:dyDescent="0.25">
      <c r="A7" s="4">
        <f t="shared" si="0"/>
        <v>4</v>
      </c>
      <c r="B7" s="8"/>
      <c r="C7" s="4"/>
      <c r="D7" s="4"/>
      <c r="E7" s="4"/>
      <c r="F7" s="4"/>
      <c r="H7" s="6" t="s">
        <v>21</v>
      </c>
    </row>
    <row r="8" spans="1:10" x14ac:dyDescent="0.25">
      <c r="A8" s="5">
        <f t="shared" si="0"/>
        <v>5</v>
      </c>
      <c r="B8" s="7"/>
      <c r="C8" s="5"/>
      <c r="D8" s="5"/>
      <c r="E8" s="5"/>
      <c r="F8" s="5"/>
    </row>
    <row r="9" spans="1:10" x14ac:dyDescent="0.25">
      <c r="A9" s="4">
        <f t="shared" si="0"/>
        <v>6</v>
      </c>
      <c r="B9" s="8"/>
      <c r="C9" s="4"/>
      <c r="D9" s="4"/>
      <c r="E9" s="4"/>
      <c r="F9" s="4"/>
    </row>
    <row r="10" spans="1:10" x14ac:dyDescent="0.25">
      <c r="A10" s="5">
        <f t="shared" si="0"/>
        <v>7</v>
      </c>
      <c r="B10" s="7"/>
      <c r="C10" s="5"/>
      <c r="D10" s="5"/>
      <c r="E10" s="5"/>
      <c r="F10" s="5"/>
    </row>
    <row r="11" spans="1:10" x14ac:dyDescent="0.25">
      <c r="A11" s="4">
        <f t="shared" si="0"/>
        <v>8</v>
      </c>
      <c r="B11" s="8"/>
      <c r="C11" s="4"/>
      <c r="D11" s="4"/>
      <c r="E11" s="4"/>
      <c r="F11" s="4"/>
    </row>
    <row r="12" spans="1:10" x14ac:dyDescent="0.25">
      <c r="A12" s="5">
        <f t="shared" si="0"/>
        <v>9</v>
      </c>
      <c r="B12" s="7"/>
      <c r="C12" s="5"/>
      <c r="D12" s="5"/>
      <c r="E12" s="5"/>
      <c r="F12" s="5"/>
    </row>
    <row r="13" spans="1:10" x14ac:dyDescent="0.25">
      <c r="A13" s="4">
        <f t="shared" si="0"/>
        <v>10</v>
      </c>
      <c r="B13" s="8"/>
      <c r="C13" s="4"/>
      <c r="D13" s="4"/>
      <c r="E13" s="4"/>
      <c r="F13" s="4"/>
    </row>
    <row r="14" spans="1:10" x14ac:dyDescent="0.25">
      <c r="A14" s="5">
        <f t="shared" si="0"/>
        <v>11</v>
      </c>
      <c r="B14" s="7"/>
      <c r="C14" s="5"/>
      <c r="D14" s="5"/>
      <c r="E14" s="5"/>
      <c r="F14" s="5"/>
    </row>
    <row r="15" spans="1:10" x14ac:dyDescent="0.25">
      <c r="A15" s="4">
        <f t="shared" si="0"/>
        <v>12</v>
      </c>
      <c r="B15" s="8"/>
      <c r="C15" s="4"/>
      <c r="D15" s="4"/>
      <c r="E15" s="4"/>
      <c r="F15" s="4"/>
    </row>
    <row r="16" spans="1:10" x14ac:dyDescent="0.25">
      <c r="A16" s="5">
        <f t="shared" si="0"/>
        <v>13</v>
      </c>
      <c r="B16" s="7"/>
      <c r="C16" s="5"/>
      <c r="D16" s="5"/>
      <c r="E16" s="5"/>
      <c r="F16" s="5"/>
    </row>
    <row r="17" spans="1:6" x14ac:dyDescent="0.25">
      <c r="A17" s="4">
        <f t="shared" si="0"/>
        <v>14</v>
      </c>
      <c r="B17" s="8"/>
      <c r="C17" s="4"/>
      <c r="D17" s="4"/>
      <c r="E17" s="4"/>
      <c r="F17" s="4"/>
    </row>
    <row r="18" spans="1:6" x14ac:dyDescent="0.25">
      <c r="A18" s="5">
        <f t="shared" si="0"/>
        <v>15</v>
      </c>
      <c r="B18" s="7"/>
      <c r="C18" s="5"/>
      <c r="D18" s="5"/>
      <c r="E18" s="5"/>
      <c r="F18" s="5"/>
    </row>
    <row r="19" spans="1:6" x14ac:dyDescent="0.25">
      <c r="A19" s="4">
        <f t="shared" si="0"/>
        <v>16</v>
      </c>
      <c r="B19" s="8"/>
      <c r="C19" s="4"/>
      <c r="D19" s="4"/>
      <c r="E19" s="4"/>
      <c r="F19" s="4"/>
    </row>
    <row r="20" spans="1:6" x14ac:dyDescent="0.25">
      <c r="A20" s="5">
        <f t="shared" si="0"/>
        <v>17</v>
      </c>
      <c r="B20" s="7"/>
      <c r="C20" s="5"/>
      <c r="D20" s="5"/>
      <c r="E20" s="5"/>
      <c r="F20" s="5"/>
    </row>
    <row r="21" spans="1:6" x14ac:dyDescent="0.25">
      <c r="A21" s="4">
        <f t="shared" si="0"/>
        <v>18</v>
      </c>
      <c r="B21" s="8"/>
      <c r="C21" s="4"/>
      <c r="D21" s="4"/>
      <c r="E21" s="4"/>
      <c r="F21" s="4"/>
    </row>
    <row r="22" spans="1:6" x14ac:dyDescent="0.25">
      <c r="A22" s="5">
        <f t="shared" si="0"/>
        <v>19</v>
      </c>
      <c r="B22" s="7"/>
      <c r="C22" s="5"/>
      <c r="D22" s="5"/>
      <c r="E22" s="5"/>
      <c r="F22" s="5"/>
    </row>
    <row r="23" spans="1:6" x14ac:dyDescent="0.25">
      <c r="A23" s="4">
        <f t="shared" si="0"/>
        <v>20</v>
      </c>
      <c r="B23" s="8"/>
      <c r="C23" s="4"/>
      <c r="D23" s="4"/>
      <c r="E23" s="4"/>
      <c r="F23" s="4"/>
    </row>
  </sheetData>
  <autoFilter ref="A3:F23" xr:uid="{00000000-0009-0000-0000-000004000000}"/>
  <mergeCells count="2">
    <mergeCell ref="A1:F1"/>
    <mergeCell ref="A2:F2"/>
  </mergeCells>
  <dataValidations count="3">
    <dataValidation type="list" allowBlank="1" showInputMessage="1" showErrorMessage="1" sqref="C4:C23" xr:uid="{00000000-0002-0000-0400-000000000000}">
      <formula1>$H$2:$H$7</formula1>
    </dataValidation>
    <dataValidation type="list" allowBlank="1" showInputMessage="1" showErrorMessage="1" sqref="D4:D23" xr:uid="{00000000-0002-0000-0400-000001000000}">
      <formula1>$I$2:$I$3</formula1>
    </dataValidation>
    <dataValidation type="list" allowBlank="1" showInputMessage="1" showErrorMessage="1" sqref="E4:E23" xr:uid="{00000000-0002-0000-0400-000002000000}">
      <formula1>$J$2:$J$4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D15"/>
  <sheetViews>
    <sheetView workbookViewId="0">
      <pane ySplit="1" topLeftCell="A2" activePane="bottomLeft" state="frozen"/>
      <selection pane="bottomLeft" activeCell="D17" sqref="D17"/>
    </sheetView>
  </sheetViews>
  <sheetFormatPr baseColWidth="10" defaultColWidth="9.140625" defaultRowHeight="15" x14ac:dyDescent="0.25"/>
  <cols>
    <col min="1" max="1" width="5.7109375" customWidth="1"/>
    <col min="2" max="2" width="40.7109375" customWidth="1"/>
    <col min="3" max="3" width="18.7109375" customWidth="1"/>
    <col min="4" max="4" width="28.7109375" customWidth="1"/>
  </cols>
  <sheetData>
    <row r="1" spans="1:4" ht="30" customHeight="1" x14ac:dyDescent="0.25">
      <c r="A1" s="14" t="s">
        <v>0</v>
      </c>
      <c r="B1" s="14"/>
      <c r="C1" s="14"/>
      <c r="D1" s="14"/>
    </row>
    <row r="3" spans="1:4" x14ac:dyDescent="0.25">
      <c r="B3" s="2" t="s">
        <v>1</v>
      </c>
    </row>
    <row r="5" spans="1:4" x14ac:dyDescent="0.25">
      <c r="B5" s="2" t="s">
        <v>2</v>
      </c>
    </row>
    <row r="6" spans="1:4" x14ac:dyDescent="0.25">
      <c r="B6" s="3" t="s">
        <v>3</v>
      </c>
      <c r="C6" s="3" t="s">
        <v>4</v>
      </c>
      <c r="D6" s="3" t="s">
        <v>5</v>
      </c>
    </row>
    <row r="7" spans="1:4" x14ac:dyDescent="0.25">
      <c r="B7" s="4" t="s">
        <v>6</v>
      </c>
      <c r="C7" s="4" t="s">
        <v>7</v>
      </c>
      <c r="D7" s="4" t="s">
        <v>8</v>
      </c>
    </row>
    <row r="8" spans="1:4" x14ac:dyDescent="0.25">
      <c r="B8" s="5" t="s">
        <v>9</v>
      </c>
      <c r="C8" s="5" t="s">
        <v>10</v>
      </c>
      <c r="D8" s="5" t="s">
        <v>11</v>
      </c>
    </row>
    <row r="9" spans="1:4" x14ac:dyDescent="0.25">
      <c r="B9" s="4" t="s">
        <v>12</v>
      </c>
      <c r="C9" s="4" t="s">
        <v>13</v>
      </c>
      <c r="D9" s="4" t="s">
        <v>14</v>
      </c>
    </row>
    <row r="10" spans="1:4" x14ac:dyDescent="0.25">
      <c r="B10" s="5" t="s">
        <v>15</v>
      </c>
      <c r="C10" s="5" t="s">
        <v>16</v>
      </c>
      <c r="D10" s="5" t="s">
        <v>17</v>
      </c>
    </row>
    <row r="11" spans="1:4" x14ac:dyDescent="0.25">
      <c r="B11" s="4" t="s">
        <v>18</v>
      </c>
      <c r="C11" s="4" t="s">
        <v>19</v>
      </c>
      <c r="D11" s="4" t="s">
        <v>20</v>
      </c>
    </row>
    <row r="12" spans="1:4" x14ac:dyDescent="0.25">
      <c r="B12" s="5" t="s">
        <v>21</v>
      </c>
      <c r="C12" s="5" t="s">
        <v>22</v>
      </c>
      <c r="D12" s="5" t="s">
        <v>23</v>
      </c>
    </row>
    <row r="14" spans="1:4" x14ac:dyDescent="0.25">
      <c r="B14" s="2" t="s">
        <v>24</v>
      </c>
    </row>
    <row r="15" spans="1:4" ht="90" customHeight="1" x14ac:dyDescent="0.25">
      <c r="B15" s="15" t="s">
        <v>25</v>
      </c>
      <c r="C15" s="15"/>
      <c r="D15" s="15"/>
    </row>
  </sheetData>
  <mergeCells count="2">
    <mergeCell ref="A1:D1"/>
    <mergeCell ref="B15:D1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L20"/>
  <sheetViews>
    <sheetView tabSelected="1" workbookViewId="0">
      <pane ySplit="1" topLeftCell="A5" activePane="bottomLeft" state="frozen"/>
      <selection pane="bottomLeft" activeCell="F19" sqref="F19:F20"/>
    </sheetView>
  </sheetViews>
  <sheetFormatPr baseColWidth="10" defaultColWidth="9.140625" defaultRowHeight="15" x14ac:dyDescent="0.25"/>
  <cols>
    <col min="1" max="1" width="30.7109375" customWidth="1"/>
    <col min="2" max="2" width="15.7109375" customWidth="1"/>
    <col min="3" max="3" width="22.7109375" customWidth="1"/>
    <col min="4" max="4" width="15.7109375" customWidth="1"/>
    <col min="5" max="5" width="25.7109375" customWidth="1"/>
    <col min="6" max="6" width="48.7109375" customWidth="1"/>
    <col min="7" max="18" width="15.7109375" customWidth="1"/>
  </cols>
  <sheetData>
    <row r="1" spans="1:12" ht="18.75" x14ac:dyDescent="0.25">
      <c r="A1" s="1" t="s">
        <v>142</v>
      </c>
      <c r="E1" s="1" t="s">
        <v>143</v>
      </c>
      <c r="H1" s="1" t="s">
        <v>144</v>
      </c>
    </row>
    <row r="2" spans="1:12" x14ac:dyDescent="0.25">
      <c r="A2" s="8" t="s">
        <v>6</v>
      </c>
      <c r="B2" s="8" t="s">
        <v>7</v>
      </c>
      <c r="C2" s="8" t="s">
        <v>8</v>
      </c>
      <c r="E2" s="8" t="s">
        <v>145</v>
      </c>
      <c r="F2" s="8" t="s">
        <v>146</v>
      </c>
    </row>
    <row r="3" spans="1:12" x14ac:dyDescent="0.25">
      <c r="A3" s="8" t="s">
        <v>9</v>
      </c>
      <c r="B3" s="8" t="s">
        <v>10</v>
      </c>
      <c r="C3" s="8" t="s">
        <v>11</v>
      </c>
      <c r="E3" s="8" t="s">
        <v>147</v>
      </c>
      <c r="F3" s="8" t="s">
        <v>148</v>
      </c>
    </row>
    <row r="4" spans="1:12" x14ac:dyDescent="0.25">
      <c r="A4" s="8" t="s">
        <v>12</v>
      </c>
      <c r="B4" s="8" t="s">
        <v>13</v>
      </c>
      <c r="C4" s="8" t="s">
        <v>14</v>
      </c>
      <c r="E4" s="8" t="s">
        <v>149</v>
      </c>
      <c r="F4" s="8" t="s">
        <v>150</v>
      </c>
    </row>
    <row r="5" spans="1:12" x14ac:dyDescent="0.25">
      <c r="A5" s="8" t="s">
        <v>15</v>
      </c>
      <c r="B5" s="8" t="s">
        <v>16</v>
      </c>
      <c r="C5" s="8" t="s">
        <v>17</v>
      </c>
      <c r="E5" s="8" t="s">
        <v>151</v>
      </c>
      <c r="F5" s="8" t="s">
        <v>152</v>
      </c>
    </row>
    <row r="6" spans="1:12" x14ac:dyDescent="0.25">
      <c r="A6" s="8" t="s">
        <v>18</v>
      </c>
      <c r="B6" s="8" t="s">
        <v>19</v>
      </c>
      <c r="C6" s="8" t="s">
        <v>20</v>
      </c>
    </row>
    <row r="7" spans="1:12" x14ac:dyDescent="0.25">
      <c r="A7" s="8" t="s">
        <v>21</v>
      </c>
      <c r="B7" s="8" t="s">
        <v>22</v>
      </c>
      <c r="C7" s="8" t="s">
        <v>23</v>
      </c>
    </row>
    <row r="9" spans="1:12" x14ac:dyDescent="0.25">
      <c r="A9" s="2" t="s">
        <v>153</v>
      </c>
    </row>
    <row r="10" spans="1:12" x14ac:dyDescent="0.25">
      <c r="A10" s="3" t="s">
        <v>34</v>
      </c>
      <c r="B10" s="3" t="s">
        <v>42</v>
      </c>
      <c r="C10" s="3" t="s">
        <v>43</v>
      </c>
      <c r="D10" s="3" t="s">
        <v>51</v>
      </c>
      <c r="E10" s="3" t="s">
        <v>54</v>
      </c>
      <c r="F10" s="3" t="s">
        <v>59</v>
      </c>
      <c r="G10" s="3" t="s">
        <v>62</v>
      </c>
      <c r="H10" s="3" t="s">
        <v>70</v>
      </c>
      <c r="I10" s="3" t="s">
        <v>77</v>
      </c>
      <c r="J10" s="3" t="s">
        <v>83</v>
      </c>
      <c r="K10" s="3" t="s">
        <v>87</v>
      </c>
      <c r="L10" s="3" t="s">
        <v>91</v>
      </c>
    </row>
    <row r="11" spans="1:12" x14ac:dyDescent="0.25">
      <c r="A11" s="4" t="s">
        <v>35</v>
      </c>
      <c r="B11" s="4" t="s">
        <v>35</v>
      </c>
      <c r="C11" s="4" t="s">
        <v>44</v>
      </c>
      <c r="D11" s="4" t="s">
        <v>45</v>
      </c>
      <c r="E11" s="4" t="s">
        <v>38</v>
      </c>
      <c r="F11" s="4" t="s">
        <v>46</v>
      </c>
      <c r="G11" s="4" t="s">
        <v>39</v>
      </c>
      <c r="H11" s="4" t="s">
        <v>47</v>
      </c>
      <c r="I11" s="4" t="s">
        <v>52</v>
      </c>
      <c r="J11" s="4" t="s">
        <v>55</v>
      </c>
      <c r="K11" s="4" t="s">
        <v>78</v>
      </c>
      <c r="L11" s="4" t="s">
        <v>60</v>
      </c>
    </row>
    <row r="12" spans="1:12" x14ac:dyDescent="0.25">
      <c r="A12" s="5" t="s">
        <v>36</v>
      </c>
      <c r="B12" s="5" t="s">
        <v>36</v>
      </c>
      <c r="C12" s="5" t="s">
        <v>45</v>
      </c>
      <c r="D12" s="5" t="s">
        <v>38</v>
      </c>
      <c r="E12" s="5" t="s">
        <v>46</v>
      </c>
      <c r="F12" s="5" t="s">
        <v>47</v>
      </c>
      <c r="G12" s="5" t="s">
        <v>47</v>
      </c>
      <c r="H12" s="5" t="s">
        <v>63</v>
      </c>
      <c r="I12" s="5" t="s">
        <v>65</v>
      </c>
      <c r="J12" s="5" t="s">
        <v>56</v>
      </c>
      <c r="K12" s="5" t="s">
        <v>71</v>
      </c>
      <c r="L12" s="5" t="s">
        <v>92</v>
      </c>
    </row>
    <row r="13" spans="1:12" x14ac:dyDescent="0.25">
      <c r="A13" s="4" t="s">
        <v>37</v>
      </c>
      <c r="B13" s="4" t="s">
        <v>37</v>
      </c>
      <c r="C13" s="4" t="s">
        <v>38</v>
      </c>
      <c r="D13" s="4" t="s">
        <v>46</v>
      </c>
      <c r="E13" s="4" t="s">
        <v>47</v>
      </c>
      <c r="F13" s="4" t="s">
        <v>48</v>
      </c>
      <c r="G13" s="4" t="s">
        <v>63</v>
      </c>
      <c r="H13" s="4" t="s">
        <v>64</v>
      </c>
      <c r="I13" s="4" t="s">
        <v>78</v>
      </c>
      <c r="J13" s="4" t="s">
        <v>57</v>
      </c>
      <c r="K13" s="4" t="s">
        <v>72</v>
      </c>
      <c r="L13" s="4" t="s">
        <v>80</v>
      </c>
    </row>
    <row r="14" spans="1:12" x14ac:dyDescent="0.25">
      <c r="A14" s="5" t="s">
        <v>38</v>
      </c>
      <c r="B14" s="5" t="s">
        <v>38</v>
      </c>
      <c r="C14" s="5" t="s">
        <v>46</v>
      </c>
      <c r="D14" s="5" t="s">
        <v>47</v>
      </c>
      <c r="E14" s="5" t="s">
        <v>48</v>
      </c>
      <c r="F14" s="5" t="s">
        <v>49</v>
      </c>
      <c r="G14" s="5" t="s">
        <v>64</v>
      </c>
      <c r="H14" s="5" t="s">
        <v>55</v>
      </c>
      <c r="I14" s="5" t="s">
        <v>71</v>
      </c>
      <c r="J14" s="5" t="s">
        <v>67</v>
      </c>
      <c r="K14" s="5" t="s">
        <v>73</v>
      </c>
      <c r="L14" s="5" t="s">
        <v>81</v>
      </c>
    </row>
    <row r="15" spans="1:12" x14ac:dyDescent="0.25">
      <c r="A15" s="4" t="s">
        <v>39</v>
      </c>
      <c r="B15" s="4" t="s">
        <v>39</v>
      </c>
      <c r="C15" s="4" t="s">
        <v>47</v>
      </c>
      <c r="D15" s="4" t="s">
        <v>48</v>
      </c>
      <c r="E15" s="4" t="s">
        <v>49</v>
      </c>
      <c r="F15" s="4" t="s">
        <v>52</v>
      </c>
      <c r="G15" s="4" t="s">
        <v>65</v>
      </c>
      <c r="H15" s="4" t="s">
        <v>71</v>
      </c>
      <c r="I15" s="4" t="s">
        <v>79</v>
      </c>
      <c r="J15" s="4" t="s">
        <v>68</v>
      </c>
      <c r="K15" s="4" t="s">
        <v>88</v>
      </c>
      <c r="L15" s="4" t="s">
        <v>93</v>
      </c>
    </row>
    <row r="16" spans="1:12" x14ac:dyDescent="0.25">
      <c r="A16" s="5" t="s">
        <v>40</v>
      </c>
      <c r="B16" s="5" t="s">
        <v>40</v>
      </c>
      <c r="C16" s="5" t="s">
        <v>48</v>
      </c>
      <c r="D16" s="5" t="s">
        <v>49</v>
      </c>
      <c r="E16" s="5" t="s">
        <v>52</v>
      </c>
      <c r="F16" s="5" t="s">
        <v>55</v>
      </c>
      <c r="G16" s="5" t="s">
        <v>66</v>
      </c>
      <c r="H16" s="5" t="s">
        <v>72</v>
      </c>
      <c r="I16" s="5" t="s">
        <v>67</v>
      </c>
      <c r="J16" s="5" t="s">
        <v>80</v>
      </c>
      <c r="K16" s="5" t="s">
        <v>89</v>
      </c>
      <c r="L16" s="5" t="s">
        <v>94</v>
      </c>
    </row>
    <row r="17" spans="1:12" x14ac:dyDescent="0.25">
      <c r="A17" s="4" t="s">
        <v>41</v>
      </c>
      <c r="B17" s="4" t="s">
        <v>41</v>
      </c>
      <c r="C17" s="4" t="s">
        <v>49</v>
      </c>
      <c r="D17" s="4" t="s">
        <v>52</v>
      </c>
      <c r="E17" s="4" t="s">
        <v>55</v>
      </c>
      <c r="F17" s="4" t="s">
        <v>56</v>
      </c>
      <c r="G17" s="4" t="s">
        <v>57</v>
      </c>
      <c r="H17" s="4" t="s">
        <v>73</v>
      </c>
      <c r="I17" s="4" t="s">
        <v>68</v>
      </c>
      <c r="J17" s="4" t="s">
        <v>81</v>
      </c>
      <c r="K17" s="4" t="s">
        <v>84</v>
      </c>
      <c r="L17" s="4" t="s">
        <v>95</v>
      </c>
    </row>
    <row r="18" spans="1:12" x14ac:dyDescent="0.25">
      <c r="A18" s="5"/>
      <c r="B18" s="5"/>
      <c r="C18" s="5" t="s">
        <v>50</v>
      </c>
      <c r="D18" s="5" t="s">
        <v>53</v>
      </c>
      <c r="E18" s="5" t="s">
        <v>56</v>
      </c>
      <c r="F18" s="5" t="s">
        <v>57</v>
      </c>
      <c r="G18" s="5" t="s">
        <v>67</v>
      </c>
      <c r="H18" s="5" t="s">
        <v>74</v>
      </c>
      <c r="I18" s="5" t="s">
        <v>80</v>
      </c>
      <c r="J18" s="5" t="s">
        <v>84</v>
      </c>
      <c r="K18" s="5" t="s">
        <v>90</v>
      </c>
      <c r="L18" s="5" t="s">
        <v>96</v>
      </c>
    </row>
    <row r="19" spans="1:12" x14ac:dyDescent="0.25">
      <c r="A19" s="4"/>
      <c r="B19" s="4"/>
      <c r="C19" s="4"/>
      <c r="D19" s="4"/>
      <c r="E19" s="4" t="s">
        <v>57</v>
      </c>
      <c r="F19" s="4" t="s">
        <v>60</v>
      </c>
      <c r="G19" s="4" t="s">
        <v>68</v>
      </c>
      <c r="H19" s="4" t="s">
        <v>75</v>
      </c>
      <c r="I19" s="4" t="s">
        <v>81</v>
      </c>
      <c r="J19" s="4" t="s">
        <v>85</v>
      </c>
      <c r="K19" s="4"/>
      <c r="L19" s="4"/>
    </row>
    <row r="20" spans="1:12" x14ac:dyDescent="0.25">
      <c r="A20" s="5"/>
      <c r="B20" s="5"/>
      <c r="C20" s="5"/>
      <c r="D20" s="5"/>
      <c r="E20" s="5" t="s">
        <v>58</v>
      </c>
      <c r="F20" s="5" t="s">
        <v>61</v>
      </c>
      <c r="G20" s="5" t="s">
        <v>69</v>
      </c>
      <c r="H20" s="5" t="s">
        <v>76</v>
      </c>
      <c r="I20" s="5" t="s">
        <v>82</v>
      </c>
      <c r="J20" s="5" t="s">
        <v>86</v>
      </c>
      <c r="K20" s="5"/>
      <c r="L20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D96F5-DAAC-4BDC-8927-8D8AE692B40F}">
  <dimension ref="A1:G10"/>
  <sheetViews>
    <sheetView workbookViewId="0"/>
  </sheetViews>
  <sheetFormatPr baseColWidth="10" defaultRowHeight="15" x14ac:dyDescent="0.25"/>
  <sheetData>
    <row r="1" spans="1:7" x14ac:dyDescent="0.25">
      <c r="A1" t="s">
        <v>46</v>
      </c>
      <c r="F1" t="s">
        <v>78</v>
      </c>
      <c r="G1" t="s">
        <v>60</v>
      </c>
    </row>
    <row r="2" spans="1:7" x14ac:dyDescent="0.25">
      <c r="A2" t="s">
        <v>47</v>
      </c>
      <c r="F2" t="s">
        <v>71</v>
      </c>
      <c r="G2" t="s">
        <v>92</v>
      </c>
    </row>
    <row r="3" spans="1:7" x14ac:dyDescent="0.25">
      <c r="A3" t="s">
        <v>48</v>
      </c>
      <c r="F3" t="s">
        <v>72</v>
      </c>
      <c r="G3" t="s">
        <v>80</v>
      </c>
    </row>
    <row r="4" spans="1:7" x14ac:dyDescent="0.25">
      <c r="A4" t="s">
        <v>49</v>
      </c>
      <c r="F4" t="s">
        <v>73</v>
      </c>
      <c r="G4" t="s">
        <v>81</v>
      </c>
    </row>
    <row r="5" spans="1:7" x14ac:dyDescent="0.25">
      <c r="A5" t="s">
        <v>52</v>
      </c>
      <c r="F5" t="s">
        <v>88</v>
      </c>
      <c r="G5" t="s">
        <v>93</v>
      </c>
    </row>
    <row r="6" spans="1:7" x14ac:dyDescent="0.25">
      <c r="A6" t="s">
        <v>55</v>
      </c>
      <c r="F6" t="s">
        <v>89</v>
      </c>
      <c r="G6" t="s">
        <v>94</v>
      </c>
    </row>
    <row r="7" spans="1:7" x14ac:dyDescent="0.25">
      <c r="A7" t="s">
        <v>56</v>
      </c>
      <c r="F7" t="s">
        <v>84</v>
      </c>
      <c r="G7" t="s">
        <v>95</v>
      </c>
    </row>
    <row r="8" spans="1:7" x14ac:dyDescent="0.25">
      <c r="A8" t="s">
        <v>57</v>
      </c>
      <c r="F8" t="s">
        <v>90</v>
      </c>
      <c r="G8" t="s">
        <v>96</v>
      </c>
    </row>
    <row r="9" spans="1:7" x14ac:dyDescent="0.25">
      <c r="A9" t="s">
        <v>60</v>
      </c>
    </row>
    <row r="10" spans="1:7" x14ac:dyDescent="0.25">
      <c r="A10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KYORUGUI</vt:lpstr>
      <vt:lpstr>CIRCUITO MOTOR</vt:lpstr>
      <vt:lpstr>POOMSAE</vt:lpstr>
      <vt:lpstr>FESTIVAL</vt:lpstr>
      <vt:lpstr>PANEL</vt:lpstr>
      <vt:lpstr>LISTAS</vt:lpstr>
      <vt:lpstr>PESOS_KYO_FILA_10</vt:lpstr>
      <vt:lpstr>PESOS_KYO_FILA_4</vt:lpstr>
      <vt:lpstr>PESOS_KYO_FILA_9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SoyHectorDMS</dc:creator>
  <cp:lastModifiedBy>SoyHectorDMS</cp:lastModifiedBy>
  <dcterms:created xsi:type="dcterms:W3CDTF">2026-06-01T04:36:38Z</dcterms:created>
  <dcterms:modified xsi:type="dcterms:W3CDTF">2026-06-01T05:08:23Z</dcterms:modified>
</cp:coreProperties>
</file>